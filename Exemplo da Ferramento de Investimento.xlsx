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mily\Downloads\"/>
    </mc:Choice>
  </mc:AlternateContent>
  <xr:revisionPtr revIDLastSave="0" documentId="13_ncr:1_{3EF102D2-5397-4027-A911-69DE579CB030}" xr6:coauthVersionLast="47" xr6:coauthVersionMax="47" xr10:uidLastSave="{00000000-0000-0000-0000-000000000000}"/>
  <bookViews>
    <workbookView xWindow="-120" yWindow="-120" windowWidth="20730" windowHeight="11160" xr2:uid="{0C200EC4-4538-421A-90EA-E4246036A120}"/>
  </bookViews>
  <sheets>
    <sheet name="INVESTIMENTO" sheetId="1" r:id="rId1"/>
    <sheet name="TBL_APOIO" sheetId="2" r:id="rId2"/>
  </sheets>
  <definedNames>
    <definedName name="aporte">INVESTIMENTO!$D$10</definedName>
    <definedName name="rendimento_carteira">INVESTIMENTO!$D$6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2" l="1"/>
  <c r="D4" i="2"/>
  <c r="C31" i="1" s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7" i="1"/>
  <c r="D13" i="1"/>
  <c r="D14" i="1" s="1"/>
  <c r="C17" i="1"/>
  <c r="D17" i="1"/>
  <c r="C18" i="1"/>
  <c r="D18" i="1"/>
  <c r="C19" i="1"/>
  <c r="D19" i="1"/>
  <c r="C20" i="1"/>
  <c r="D20" i="1" s="1"/>
  <c r="C21" i="1"/>
  <c r="D21" i="1"/>
  <c r="C24" i="1"/>
  <c r="C30" i="1"/>
  <c r="C27" i="1" l="1"/>
  <c r="C28" i="1"/>
  <c r="D28" i="1" s="1"/>
  <c r="D30" i="1"/>
  <c r="C29" i="1"/>
  <c r="D29" i="1" s="1"/>
  <c r="C32" i="1"/>
  <c r="D32" i="1" s="1"/>
  <c r="D31" i="1"/>
  <c r="D27" i="1"/>
  <c r="D33" i="1" l="1"/>
  <c r="C33" i="1"/>
</calcChain>
</file>

<file path=xl/sharedStrings.xml><?xml version="1.0" encoding="utf-8"?>
<sst xmlns="http://schemas.openxmlformats.org/spreadsheetml/2006/main" count="70" uniqueCount="35">
  <si>
    <t>HOTELARIAS</t>
  </si>
  <si>
    <t>DESENVOLVIMENTO</t>
  </si>
  <si>
    <t>FOFs</t>
  </si>
  <si>
    <t>HIBRÍDOS</t>
  </si>
  <si>
    <t>TIJOLO</t>
  </si>
  <si>
    <t>PAPEL</t>
  </si>
  <si>
    <t>Valores</t>
  </si>
  <si>
    <t>% Sugerido</t>
  </si>
  <si>
    <t>TIPO DE FII</t>
  </si>
  <si>
    <t xml:space="preserve">Valor a ser investido por mês: </t>
  </si>
  <si>
    <t>AGRESSIVO</t>
  </si>
  <si>
    <t>PERFIL:</t>
  </si>
  <si>
    <t xml:space="preserve">Quanto em 30 anos ? </t>
  </si>
  <si>
    <t xml:space="preserve">Quanto em 20 anos ? </t>
  </si>
  <si>
    <t xml:space="preserve">Quanto em 10 anos ? </t>
  </si>
  <si>
    <t xml:space="preserve">Quanto em 5 anos ? </t>
  </si>
  <si>
    <t xml:space="preserve">Quanto em 2 anos ? </t>
  </si>
  <si>
    <t>Dividendo</t>
  </si>
  <si>
    <t>CENÁRIOS</t>
  </si>
  <si>
    <t>Quais são os dividendos mensais ?</t>
  </si>
  <si>
    <t xml:space="preserve">Quanto de patrimonio acumulado terei ? </t>
  </si>
  <si>
    <t>Taxa de rendimento mensal ?</t>
  </si>
  <si>
    <t>Por quantos anos ?</t>
  </si>
  <si>
    <t xml:space="preserve">Quanto investir por mês ? </t>
  </si>
  <si>
    <t>INVESTIMENTO MENSAL</t>
  </si>
  <si>
    <t>Sugestão de Investimento (30%)</t>
  </si>
  <si>
    <t>Rendimento Carteira</t>
  </si>
  <si>
    <t>Salário</t>
  </si>
  <si>
    <t>CONFIGURAÇÕES</t>
  </si>
  <si>
    <t>MODERADO</t>
  </si>
  <si>
    <t>CONSERVADOR</t>
  </si>
  <si>
    <t>%</t>
  </si>
  <si>
    <t>CHAVE</t>
  </si>
  <si>
    <t>PERFIL</t>
  </si>
  <si>
    <t>TÍTULO COM 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</si>
</sst>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0.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2"/>
      <color theme="1"/>
      <name val="Segoe UI"/>
      <family val="2"/>
    </font>
    <font>
      <sz val="12"/>
      <color theme="0"/>
      <name val="Segoe UI"/>
      <family val="2"/>
    </font>
    <font>
      <b/>
      <sz val="12"/>
      <color theme="0"/>
      <name val="Segoe UI"/>
      <family val="2"/>
    </font>
    <font>
      <b/>
      <sz val="12"/>
      <color theme="0"/>
      <name val="Calibri"/>
      <family val="2"/>
      <scheme val="minor"/>
    </font>
    <font>
      <b/>
      <sz val="12"/>
      <color theme="1"/>
      <name val="Segoe UI"/>
      <family val="2"/>
    </font>
    <font>
      <b/>
      <sz val="11"/>
      <color rgb="FF9C5700"/>
      <name val="Calibri"/>
      <family val="2"/>
      <scheme val="minor"/>
    </font>
    <font>
      <b/>
      <sz val="12"/>
      <color rgb="FF9C5700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0"/>
      <color theme="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7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indent="2"/>
    </xf>
    <xf numFmtId="0" fontId="4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2"/>
    </xf>
    <xf numFmtId="0" fontId="4" fillId="0" borderId="0" xfId="0" applyFont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/>
    </xf>
    <xf numFmtId="9" fontId="5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6" fillId="3" borderId="0" xfId="3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vertical="center"/>
    </xf>
    <xf numFmtId="164" fontId="7" fillId="4" borderId="2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left" vertical="center" indent="3"/>
    </xf>
    <xf numFmtId="0" fontId="8" fillId="2" borderId="0" xfId="3" applyFont="1" applyBorder="1" applyAlignment="1">
      <alignment horizontal="center" vertical="center"/>
    </xf>
    <xf numFmtId="0" fontId="9" fillId="2" borderId="0" xfId="3" applyFont="1" applyBorder="1" applyAlignment="1">
      <alignment horizontal="left" vertical="center" indent="2"/>
    </xf>
    <xf numFmtId="164" fontId="3" fillId="4" borderId="4" xfId="0" applyNumberFormat="1" applyFont="1" applyFill="1" applyBorder="1" applyAlignment="1">
      <alignment horizontal="center" vertical="center"/>
    </xf>
    <xf numFmtId="164" fontId="3" fillId="4" borderId="5" xfId="0" applyNumberFormat="1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left" vertical="center" indent="3"/>
    </xf>
    <xf numFmtId="164" fontId="3" fillId="4" borderId="7" xfId="0" applyNumberFormat="1" applyFont="1" applyFill="1" applyBorder="1" applyAlignment="1">
      <alignment horizontal="center" vertical="center"/>
    </xf>
    <xf numFmtId="164" fontId="3" fillId="4" borderId="8" xfId="0" applyNumberFormat="1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left" vertical="center" indent="3"/>
    </xf>
    <xf numFmtId="164" fontId="3" fillId="4" borderId="10" xfId="0" applyNumberFormat="1" applyFont="1" applyFill="1" applyBorder="1" applyAlignment="1">
      <alignment horizontal="center" vertical="center"/>
    </xf>
    <xf numFmtId="164" fontId="3" fillId="4" borderId="11" xfId="0" applyNumberFormat="1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left" vertical="center" indent="3"/>
    </xf>
    <xf numFmtId="0" fontId="5" fillId="5" borderId="13" xfId="0" applyFont="1" applyFill="1" applyBorder="1" applyAlignment="1">
      <alignment vertical="center"/>
    </xf>
    <xf numFmtId="0" fontId="5" fillId="5" borderId="14" xfId="0" applyFont="1" applyFill="1" applyBorder="1" applyAlignment="1">
      <alignment horizontal="left" vertical="center" indent="46"/>
    </xf>
    <xf numFmtId="0" fontId="5" fillId="5" borderId="15" xfId="0" applyFont="1" applyFill="1" applyBorder="1" applyAlignment="1">
      <alignment horizontal="left" vertical="center" indent="46"/>
    </xf>
    <xf numFmtId="8" fontId="7" fillId="4" borderId="4" xfId="0" applyNumberFormat="1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left" vertical="center" indent="3"/>
    </xf>
    <xf numFmtId="0" fontId="7" fillId="4" borderId="6" xfId="0" applyFont="1" applyFill="1" applyBorder="1" applyAlignment="1">
      <alignment horizontal="left" vertical="center" indent="3"/>
    </xf>
    <xf numFmtId="8" fontId="7" fillId="4" borderId="7" xfId="0" applyNumberFormat="1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left" vertical="center" indent="3"/>
    </xf>
    <xf numFmtId="0" fontId="7" fillId="4" borderId="9" xfId="0" applyFont="1" applyFill="1" applyBorder="1" applyAlignment="1">
      <alignment horizontal="left" vertical="center" indent="3"/>
    </xf>
    <xf numFmtId="165" fontId="7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indent="3"/>
    </xf>
    <xf numFmtId="0" fontId="3" fillId="0" borderId="9" xfId="0" applyFont="1" applyBorder="1" applyAlignment="1">
      <alignment horizontal="left" vertical="center" indent="3"/>
    </xf>
    <xf numFmtId="0" fontId="7" fillId="0" borderId="7" xfId="0" applyFont="1" applyBorder="1" applyAlignment="1">
      <alignment horizontal="center" vertical="center"/>
    </xf>
    <xf numFmtId="164" fontId="7" fillId="0" borderId="10" xfId="1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3"/>
    </xf>
    <xf numFmtId="0" fontId="3" fillId="0" borderId="12" xfId="0" applyFont="1" applyBorder="1" applyAlignment="1">
      <alignment horizontal="left" vertical="center" indent="3"/>
    </xf>
    <xf numFmtId="0" fontId="5" fillId="5" borderId="16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 indent="3"/>
    </xf>
    <xf numFmtId="0" fontId="3" fillId="4" borderId="6" xfId="0" applyFont="1" applyFill="1" applyBorder="1" applyAlignment="1">
      <alignment horizontal="left" vertical="center" indent="3"/>
    </xf>
    <xf numFmtId="165" fontId="3" fillId="0" borderId="7" xfId="2" applyNumberFormat="1" applyFont="1" applyBorder="1" applyAlignment="1">
      <alignment horizontal="center" vertical="center"/>
    </xf>
    <xf numFmtId="0" fontId="3" fillId="4" borderId="8" xfId="0" applyFont="1" applyFill="1" applyBorder="1" applyAlignment="1">
      <alignment horizontal="left" vertical="center" indent="3"/>
    </xf>
    <xf numFmtId="0" fontId="3" fillId="4" borderId="9" xfId="0" applyFont="1" applyFill="1" applyBorder="1" applyAlignment="1">
      <alignment horizontal="left" vertical="center" indent="3"/>
    </xf>
    <xf numFmtId="164" fontId="3" fillId="0" borderId="10" xfId="1" applyNumberFormat="1" applyFont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 indent="3"/>
    </xf>
    <xf numFmtId="0" fontId="3" fillId="4" borderId="12" xfId="0" applyFont="1" applyFill="1" applyBorder="1" applyAlignment="1">
      <alignment horizontal="left" vertical="center" indent="3"/>
    </xf>
    <xf numFmtId="0" fontId="5" fillId="6" borderId="16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 applyAlignment="1">
      <alignment horizontal="center"/>
    </xf>
    <xf numFmtId="9" fontId="11" fillId="0" borderId="17" xfId="0" applyNumberFormat="1" applyFont="1" applyBorder="1" applyAlignment="1">
      <alignment horizontal="center"/>
    </xf>
    <xf numFmtId="0" fontId="10" fillId="0" borderId="18" xfId="0" applyFont="1" applyBorder="1" applyAlignment="1">
      <alignment horizontal="left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/>
    <xf numFmtId="9" fontId="11" fillId="0" borderId="20" xfId="0" applyNumberFormat="1" applyFont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21" xfId="0" applyFont="1" applyBorder="1"/>
    <xf numFmtId="9" fontId="11" fillId="0" borderId="22" xfId="0" applyNumberFormat="1" applyFont="1" applyBorder="1" applyAlignment="1">
      <alignment horizontal="center"/>
    </xf>
    <xf numFmtId="0" fontId="10" fillId="0" borderId="23" xfId="0" applyFont="1" applyBorder="1" applyAlignment="1">
      <alignment horizontal="left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/>
    <xf numFmtId="9" fontId="11" fillId="0" borderId="20" xfId="2" applyFont="1" applyBorder="1" applyAlignment="1">
      <alignment horizontal="center"/>
    </xf>
    <xf numFmtId="0" fontId="12" fillId="3" borderId="25" xfId="3" applyFont="1" applyFill="1" applyBorder="1" applyAlignment="1">
      <alignment horizontal="center" vertical="center"/>
    </xf>
    <xf numFmtId="0" fontId="12" fillId="3" borderId="26" xfId="3" applyFont="1" applyFill="1" applyBorder="1" applyAlignment="1">
      <alignment horizontal="center" vertical="center"/>
    </xf>
    <xf numFmtId="0" fontId="12" fillId="3" borderId="27" xfId="3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9D155-71E1-4A40-92AC-85EB052C3EC0}">
  <dimension ref="A1:H43"/>
  <sheetViews>
    <sheetView showGridLines="0" showRowColHeaders="0" tabSelected="1" workbookViewId="0">
      <selection activeCell="F6" sqref="F6"/>
    </sheetView>
  </sheetViews>
  <sheetFormatPr defaultColWidth="0" defaultRowHeight="17.25" x14ac:dyDescent="0.3"/>
  <cols>
    <col min="1" max="1" width="1.7109375" style="4" customWidth="1"/>
    <col min="2" max="2" width="63" style="3" customWidth="1"/>
    <col min="3" max="3" width="52.28515625" style="1" customWidth="1"/>
    <col min="4" max="4" width="19.5703125" style="2" customWidth="1"/>
    <col min="5" max="8" width="5.7109375" style="1" customWidth="1"/>
    <col min="9" max="9" width="5.5703125" style="1" customWidth="1"/>
    <col min="10" max="11" width="9.140625" style="1" hidden="1" customWidth="1"/>
    <col min="12" max="16384" width="9.140625" style="1" hidden="1"/>
  </cols>
  <sheetData>
    <row r="1" spans="1:5" ht="3.75" customHeight="1" x14ac:dyDescent="0.3"/>
    <row r="2" spans="1:5" s="5" customFormat="1" ht="18" customHeight="1" x14ac:dyDescent="0.25">
      <c r="A2" s="8"/>
      <c r="B2" s="78" t="s">
        <v>34</v>
      </c>
      <c r="C2" s="78"/>
      <c r="D2" s="78"/>
    </row>
    <row r="3" spans="1:5" s="5" customFormat="1" ht="18" customHeight="1" x14ac:dyDescent="0.25">
      <c r="A3" s="8"/>
      <c r="B3" s="7"/>
      <c r="D3" s="6"/>
    </row>
    <row r="4" spans="1:5" s="5" customFormat="1" ht="18" customHeight="1" x14ac:dyDescent="0.25">
      <c r="A4" s="8"/>
      <c r="B4" s="59" t="s">
        <v>28</v>
      </c>
      <c r="C4" s="58"/>
      <c r="D4" s="57"/>
    </row>
    <row r="5" spans="1:5" s="5" customFormat="1" ht="18" customHeight="1" x14ac:dyDescent="0.25">
      <c r="A5" s="8"/>
      <c r="B5" s="56" t="s">
        <v>27</v>
      </c>
      <c r="C5" s="55"/>
      <c r="D5" s="54">
        <v>2000</v>
      </c>
    </row>
    <row r="6" spans="1:5" s="5" customFormat="1" ht="18" customHeight="1" x14ac:dyDescent="0.25">
      <c r="A6" s="8"/>
      <c r="B6" s="53" t="s">
        <v>26</v>
      </c>
      <c r="C6" s="52"/>
      <c r="D6" s="51">
        <v>6.0000000000000001E-3</v>
      </c>
    </row>
    <row r="7" spans="1:5" s="5" customFormat="1" ht="18" customHeight="1" x14ac:dyDescent="0.25">
      <c r="A7" s="8"/>
      <c r="B7" s="50" t="s">
        <v>25</v>
      </c>
      <c r="C7" s="49"/>
      <c r="D7" s="48">
        <f>$D$5*30%</f>
        <v>600</v>
      </c>
    </row>
    <row r="8" spans="1:5" s="5" customFormat="1" ht="18" customHeight="1" x14ac:dyDescent="0.25">
      <c r="A8" s="8"/>
      <c r="B8" s="7"/>
      <c r="D8" s="6"/>
    </row>
    <row r="9" spans="1:5" s="5" customFormat="1" ht="18" customHeight="1" x14ac:dyDescent="0.25">
      <c r="A9" s="8"/>
      <c r="B9" s="47" t="s">
        <v>24</v>
      </c>
      <c r="C9" s="46"/>
      <c r="D9" s="45"/>
    </row>
    <row r="10" spans="1:5" s="5" customFormat="1" ht="18" customHeight="1" x14ac:dyDescent="0.25">
      <c r="A10" s="8"/>
      <c r="B10" s="44" t="s">
        <v>23</v>
      </c>
      <c r="C10" s="43"/>
      <c r="D10" s="42">
        <v>200</v>
      </c>
    </row>
    <row r="11" spans="1:5" s="5" customFormat="1" ht="18" customHeight="1" x14ac:dyDescent="0.25">
      <c r="A11" s="8"/>
      <c r="B11" s="40" t="s">
        <v>22</v>
      </c>
      <c r="C11" s="39"/>
      <c r="D11" s="41">
        <v>5</v>
      </c>
    </row>
    <row r="12" spans="1:5" s="5" customFormat="1" ht="18" customHeight="1" x14ac:dyDescent="0.25">
      <c r="A12" s="8"/>
      <c r="B12" s="40" t="s">
        <v>21</v>
      </c>
      <c r="C12" s="39"/>
      <c r="D12" s="38">
        <v>1.0789999999999999E-2</v>
      </c>
    </row>
    <row r="13" spans="1:5" s="5" customFormat="1" ht="18" customHeight="1" x14ac:dyDescent="0.25">
      <c r="A13" s="8"/>
      <c r="B13" s="37" t="s">
        <v>20</v>
      </c>
      <c r="C13" s="36"/>
      <c r="D13" s="35">
        <f>FV($D$12,$D$11*12,$D$10*-1)</f>
        <v>16755.382799697527</v>
      </c>
    </row>
    <row r="14" spans="1:5" s="5" customFormat="1" ht="18" customHeight="1" x14ac:dyDescent="0.25">
      <c r="A14" s="8"/>
      <c r="B14" s="34" t="s">
        <v>19</v>
      </c>
      <c r="C14" s="33"/>
      <c r="D14" s="32">
        <f>D13*D12</f>
        <v>180.7905804087363</v>
      </c>
    </row>
    <row r="15" spans="1:5" s="5" customFormat="1" ht="18" customHeight="1" x14ac:dyDescent="0.25">
      <c r="A15" s="8"/>
      <c r="B15" s="7"/>
      <c r="D15" s="6"/>
    </row>
    <row r="16" spans="1:5" s="5" customFormat="1" ht="18" customHeight="1" x14ac:dyDescent="0.25">
      <c r="A16" s="8"/>
      <c r="B16" s="31" t="s">
        <v>18</v>
      </c>
      <c r="C16" s="30"/>
      <c r="D16" s="29" t="s">
        <v>17</v>
      </c>
      <c r="E16"/>
    </row>
    <row r="17" spans="1:4" s="5" customFormat="1" ht="18" customHeight="1" x14ac:dyDescent="0.25">
      <c r="A17" s="8">
        <v>2</v>
      </c>
      <c r="B17" s="28" t="s">
        <v>16</v>
      </c>
      <c r="C17" s="27">
        <f>FV($D$12,$A17*12,$D$10*-1)</f>
        <v>5445.5254595290435</v>
      </c>
      <c r="D17" s="26">
        <f>C17*$D$6</f>
        <v>32.673152757174265</v>
      </c>
    </row>
    <row r="18" spans="1:4" s="5" customFormat="1" ht="18" customHeight="1" x14ac:dyDescent="0.25">
      <c r="A18" s="8">
        <v>5</v>
      </c>
      <c r="B18" s="25" t="s">
        <v>15</v>
      </c>
      <c r="C18" s="24">
        <f>FV($D$12,$A18*12,$D$10*-1)</f>
        <v>16755.382799697527</v>
      </c>
      <c r="D18" s="23">
        <f>C18*$D$6</f>
        <v>100.53229679818516</v>
      </c>
    </row>
    <row r="19" spans="1:4" s="5" customFormat="1" ht="18" customHeight="1" x14ac:dyDescent="0.25">
      <c r="A19" s="8">
        <v>10</v>
      </c>
      <c r="B19" s="25" t="s">
        <v>14</v>
      </c>
      <c r="C19" s="24">
        <f>FV($D$12,$A19*12,$D$10*-1)</f>
        <v>48656.842506034438</v>
      </c>
      <c r="D19" s="23">
        <f>C19*$D$6</f>
        <v>291.94105503620665</v>
      </c>
    </row>
    <row r="20" spans="1:4" s="5" customFormat="1" ht="18" customHeight="1" x14ac:dyDescent="0.25">
      <c r="A20" s="8">
        <v>20</v>
      </c>
      <c r="B20" s="25" t="s">
        <v>13</v>
      </c>
      <c r="C20" s="24">
        <f>FV($D$12,$A20*12,$D$10*-1)</f>
        <v>225039.68001941612</v>
      </c>
      <c r="D20" s="23">
        <f>C20*$D$6</f>
        <v>1350.2380801164968</v>
      </c>
    </row>
    <row r="21" spans="1:4" s="5" customFormat="1" ht="18" customHeight="1" x14ac:dyDescent="0.25">
      <c r="A21" s="8">
        <v>30</v>
      </c>
      <c r="B21" s="22" t="s">
        <v>12</v>
      </c>
      <c r="C21" s="21">
        <f>FV($D$12,$A21*12,$D$10*-1)</f>
        <v>864433.93100094295</v>
      </c>
      <c r="D21" s="20">
        <f>C21*$D$6</f>
        <v>5186.6035860056581</v>
      </c>
    </row>
    <row r="22" spans="1:4" s="5" customFormat="1" ht="18" customHeight="1" x14ac:dyDescent="0.25">
      <c r="A22" s="8"/>
      <c r="B22" s="7"/>
      <c r="D22" s="6"/>
    </row>
    <row r="23" spans="1:4" s="5" customFormat="1" ht="18" customHeight="1" x14ac:dyDescent="0.25">
      <c r="A23" s="8"/>
      <c r="B23" s="19" t="s">
        <v>11</v>
      </c>
      <c r="C23" s="18" t="s">
        <v>10</v>
      </c>
      <c r="D23" s="18"/>
    </row>
    <row r="24" spans="1:4" s="5" customFormat="1" ht="18" customHeight="1" x14ac:dyDescent="0.25">
      <c r="A24" s="8"/>
      <c r="B24" s="17" t="s">
        <v>9</v>
      </c>
      <c r="C24" s="16">
        <f>aporte</f>
        <v>200</v>
      </c>
      <c r="D24" s="15"/>
    </row>
    <row r="25" spans="1:4" s="5" customFormat="1" ht="18" customHeight="1" x14ac:dyDescent="0.25">
      <c r="A25" s="8"/>
      <c r="B25" s="7"/>
      <c r="D25" s="6"/>
    </row>
    <row r="26" spans="1:4" s="5" customFormat="1" ht="18" customHeight="1" x14ac:dyDescent="0.25">
      <c r="A26" s="8"/>
      <c r="B26" s="14" t="s">
        <v>8</v>
      </c>
      <c r="C26" s="14" t="s">
        <v>7</v>
      </c>
      <c r="D26" s="14" t="s">
        <v>6</v>
      </c>
    </row>
    <row r="27" spans="1:4" s="5" customFormat="1" ht="18" customHeight="1" x14ac:dyDescent="0.25">
      <c r="A27" s="8"/>
      <c r="B27" s="6" t="s">
        <v>5</v>
      </c>
      <c r="C27" s="13">
        <f>VLOOKUP($C$23&amp;"-"&amp;$B27,TBL_APOIO!$D$2:$E$20,2,FALSE)</f>
        <v>0.5</v>
      </c>
      <c r="D27" s="12">
        <f>$C27*$C$24</f>
        <v>100</v>
      </c>
    </row>
    <row r="28" spans="1:4" s="5" customFormat="1" ht="18" customHeight="1" x14ac:dyDescent="0.25">
      <c r="A28" s="8"/>
      <c r="B28" s="6" t="s">
        <v>4</v>
      </c>
      <c r="C28" s="13">
        <f>VLOOKUP($C$23&amp;"-"&amp;$B28,TBL_APOIO!$D$2:$E$20,2,FALSE)</f>
        <v>0.1</v>
      </c>
      <c r="D28" s="12">
        <f>$C28*$C$24</f>
        <v>20</v>
      </c>
    </row>
    <row r="29" spans="1:4" s="5" customFormat="1" ht="18" customHeight="1" x14ac:dyDescent="0.25">
      <c r="A29" s="8"/>
      <c r="B29" s="6" t="s">
        <v>3</v>
      </c>
      <c r="C29" s="13">
        <f>VLOOKUP($C$23&amp;"-"&amp;$B29,TBL_APOIO!$D$2:$E$20,2,FALSE)</f>
        <v>0.05</v>
      </c>
      <c r="D29" s="12">
        <f>$C29*$C$24</f>
        <v>10</v>
      </c>
    </row>
    <row r="30" spans="1:4" s="5" customFormat="1" ht="18" customHeight="1" x14ac:dyDescent="0.25">
      <c r="A30" s="8"/>
      <c r="B30" s="6" t="s">
        <v>2</v>
      </c>
      <c r="C30" s="13">
        <f>VLOOKUP($C$23&amp;"-"&amp;$B30,TBL_APOIO!$D$2:$E$20,2,FALSE)</f>
        <v>0.05</v>
      </c>
      <c r="D30" s="12">
        <f>$C30*$C$24</f>
        <v>10</v>
      </c>
    </row>
    <row r="31" spans="1:4" s="5" customFormat="1" ht="18" customHeight="1" x14ac:dyDescent="0.25">
      <c r="A31" s="8"/>
      <c r="B31" s="6" t="s">
        <v>1</v>
      </c>
      <c r="C31" s="13">
        <f>VLOOKUP($C$23&amp;"-"&amp;$B31,TBL_APOIO!$D$2:$E$20,2,FALSE)</f>
        <v>0.2</v>
      </c>
      <c r="D31" s="12">
        <f>$C31*$C$24</f>
        <v>40</v>
      </c>
    </row>
    <row r="32" spans="1:4" s="5" customFormat="1" ht="18" customHeight="1" x14ac:dyDescent="0.25">
      <c r="A32" s="8"/>
      <c r="B32" s="6" t="s">
        <v>0</v>
      </c>
      <c r="C32" s="13">
        <f>VLOOKUP($C$23&amp;"-"&amp;$B32,TBL_APOIO!$D$2:$E$20,2,FALSE)</f>
        <v>0.1</v>
      </c>
      <c r="D32" s="12">
        <f>$C32*$C$24</f>
        <v>20</v>
      </c>
    </row>
    <row r="33" spans="1:4" s="5" customFormat="1" ht="18" customHeight="1" x14ac:dyDescent="0.25">
      <c r="A33" s="8"/>
      <c r="B33" s="11"/>
      <c r="C33" s="10">
        <f>SUM(C27:C32)</f>
        <v>1.0000000000000002</v>
      </c>
      <c r="D33" s="9">
        <f>SUM(D27:D32)</f>
        <v>200</v>
      </c>
    </row>
    <row r="34" spans="1:4" s="5" customFormat="1" ht="18" customHeight="1" x14ac:dyDescent="0.25">
      <c r="A34" s="8"/>
      <c r="B34" s="6"/>
      <c r="D34" s="6"/>
    </row>
    <row r="35" spans="1:4" s="5" customFormat="1" ht="18" customHeight="1" x14ac:dyDescent="0.25">
      <c r="A35" s="8"/>
      <c r="B35" s="7"/>
      <c r="D35" s="6"/>
    </row>
    <row r="36" spans="1:4" s="5" customFormat="1" ht="18" customHeight="1" x14ac:dyDescent="0.25">
      <c r="A36" s="8"/>
      <c r="B36" s="7"/>
      <c r="D36" s="6"/>
    </row>
    <row r="37" spans="1:4" s="5" customFormat="1" ht="18" customHeight="1" x14ac:dyDescent="0.25">
      <c r="A37" s="8"/>
      <c r="B37" s="7"/>
      <c r="D37" s="6"/>
    </row>
    <row r="38" spans="1:4" s="5" customFormat="1" ht="18" customHeight="1" x14ac:dyDescent="0.25">
      <c r="A38" s="8"/>
      <c r="B38" s="7"/>
      <c r="D38" s="6"/>
    </row>
    <row r="39" spans="1:4" s="5" customFormat="1" ht="18" customHeight="1" x14ac:dyDescent="0.25">
      <c r="A39" s="8"/>
      <c r="B39" s="7"/>
      <c r="D39" s="6"/>
    </row>
    <row r="40" spans="1:4" s="5" customFormat="1" ht="18" customHeight="1" x14ac:dyDescent="0.25">
      <c r="A40" s="8"/>
      <c r="B40" s="7"/>
      <c r="D40" s="6"/>
    </row>
    <row r="41" spans="1:4" s="5" customFormat="1" ht="18" customHeight="1" x14ac:dyDescent="0.25">
      <c r="A41" s="8"/>
      <c r="B41" s="7"/>
      <c r="D41" s="6"/>
    </row>
    <row r="42" spans="1:4" s="5" customFormat="1" ht="18" customHeight="1" x14ac:dyDescent="0.25">
      <c r="A42" s="8"/>
      <c r="B42" s="7"/>
      <c r="D42" s="6"/>
    </row>
    <row r="43" spans="1:4" s="5" customFormat="1" ht="18" customHeight="1" x14ac:dyDescent="0.25">
      <c r="A43" s="8"/>
      <c r="B43" s="7"/>
      <c r="D43" s="6"/>
    </row>
  </sheetData>
  <mergeCells count="12">
    <mergeCell ref="B13:C13"/>
    <mergeCell ref="B2:D2"/>
    <mergeCell ref="B14:C14"/>
    <mergeCell ref="B7:C7"/>
    <mergeCell ref="B5:C5"/>
    <mergeCell ref="B6:C6"/>
    <mergeCell ref="B16:C16"/>
    <mergeCell ref="B4:D4"/>
    <mergeCell ref="B9:D9"/>
    <mergeCell ref="B10:C10"/>
    <mergeCell ref="B11:C11"/>
    <mergeCell ref="B12:C12"/>
  </mergeCells>
  <dataValidations count="1">
    <dataValidation type="list" allowBlank="1" showInputMessage="1" showErrorMessage="1" sqref="C23" xr:uid="{D20A3041-EC21-46D5-8F0F-CA5FD67F49AE}">
      <formula1>"CONSERVADOR,MODERADO,AGRESSIVO"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73EDA-E677-4D25-9842-F786E0D30696}">
  <dimension ref="B1:E20"/>
  <sheetViews>
    <sheetView showGridLines="0" workbookViewId="0">
      <selection activeCell="C24" sqref="C24"/>
    </sheetView>
  </sheetViews>
  <sheetFormatPr defaultRowHeight="14.25" x14ac:dyDescent="0.25"/>
  <cols>
    <col min="1" max="1" width="9.140625" style="60"/>
    <col min="2" max="2" width="14.7109375" style="60" bestFit="1" customWidth="1"/>
    <col min="3" max="3" width="22.5703125" style="60" bestFit="1" customWidth="1"/>
    <col min="4" max="4" width="40.28515625" style="60" bestFit="1" customWidth="1"/>
    <col min="5" max="5" width="9.140625" style="61"/>
    <col min="6" max="16384" width="9.140625" style="60"/>
  </cols>
  <sheetData>
    <row r="1" spans="2:5" ht="3.75" customHeight="1" x14ac:dyDescent="0.25"/>
    <row r="2" spans="2:5" x14ac:dyDescent="0.25">
      <c r="B2" s="77" t="s">
        <v>33</v>
      </c>
      <c r="C2" s="76" t="s">
        <v>8</v>
      </c>
      <c r="D2" s="76" t="s">
        <v>32</v>
      </c>
      <c r="E2" s="75" t="s">
        <v>31</v>
      </c>
    </row>
    <row r="3" spans="2:5" x14ac:dyDescent="0.25">
      <c r="B3" s="69" t="s">
        <v>30</v>
      </c>
      <c r="C3" s="68" t="s">
        <v>5</v>
      </c>
      <c r="D3" s="67" t="str">
        <f>B3&amp;"-"&amp;C3</f>
        <v>CONSERVADOR-PAPEL</v>
      </c>
      <c r="E3" s="74">
        <v>0.3</v>
      </c>
    </row>
    <row r="4" spans="2:5" x14ac:dyDescent="0.25">
      <c r="B4" s="69" t="s">
        <v>30</v>
      </c>
      <c r="C4" s="68" t="s">
        <v>4</v>
      </c>
      <c r="D4" s="67" t="str">
        <f>B4&amp;"-"&amp;C4</f>
        <v>CONSERVADOR-TIJOLO</v>
      </c>
      <c r="E4" s="74">
        <v>0.5</v>
      </c>
    </row>
    <row r="5" spans="2:5" x14ac:dyDescent="0.25">
      <c r="B5" s="69" t="s">
        <v>30</v>
      </c>
      <c r="C5" s="68" t="s">
        <v>3</v>
      </c>
      <c r="D5" s="67" t="str">
        <f>B5&amp;"-"&amp;C5</f>
        <v>CONSERVADOR-HIBRÍDOS</v>
      </c>
      <c r="E5" s="74">
        <v>0.1</v>
      </c>
    </row>
    <row r="6" spans="2:5" x14ac:dyDescent="0.25">
      <c r="B6" s="69" t="s">
        <v>30</v>
      </c>
      <c r="C6" s="68" t="s">
        <v>2</v>
      </c>
      <c r="D6" s="67" t="str">
        <f>B6&amp;"-"&amp;C6</f>
        <v>CONSERVADOR-FOFs</v>
      </c>
      <c r="E6" s="74">
        <v>0.1</v>
      </c>
    </row>
    <row r="7" spans="2:5" x14ac:dyDescent="0.25">
      <c r="B7" s="69" t="s">
        <v>30</v>
      </c>
      <c r="C7" s="68" t="s">
        <v>1</v>
      </c>
      <c r="D7" s="67" t="str">
        <f>B7&amp;"-"&amp;C7</f>
        <v>CONSERVADOR-DESENVOLVIMENTO</v>
      </c>
      <c r="E7" s="74">
        <v>0</v>
      </c>
    </row>
    <row r="8" spans="2:5" x14ac:dyDescent="0.25">
      <c r="B8" s="69" t="s">
        <v>30</v>
      </c>
      <c r="C8" s="68" t="s">
        <v>0</v>
      </c>
      <c r="D8" s="67" t="str">
        <f>B8&amp;"-"&amp;C8</f>
        <v>CONSERVADOR-HOTELARIAS</v>
      </c>
      <c r="E8" s="74">
        <v>0</v>
      </c>
    </row>
    <row r="9" spans="2:5" x14ac:dyDescent="0.25">
      <c r="B9" s="73" t="s">
        <v>29</v>
      </c>
      <c r="C9" s="72" t="s">
        <v>5</v>
      </c>
      <c r="D9" s="71" t="str">
        <f>B9&amp;"-"&amp;C9</f>
        <v>MODERADO-PAPEL</v>
      </c>
      <c r="E9" s="70">
        <v>0.32</v>
      </c>
    </row>
    <row r="10" spans="2:5" x14ac:dyDescent="0.25">
      <c r="B10" s="69" t="s">
        <v>29</v>
      </c>
      <c r="C10" s="68" t="s">
        <v>4</v>
      </c>
      <c r="D10" s="67" t="str">
        <f>B10&amp;"-"&amp;C10</f>
        <v>MODERADO-TIJOLO</v>
      </c>
      <c r="E10" s="66">
        <v>0.35</v>
      </c>
    </row>
    <row r="11" spans="2:5" x14ac:dyDescent="0.25">
      <c r="B11" s="69" t="s">
        <v>29</v>
      </c>
      <c r="C11" s="68" t="s">
        <v>3</v>
      </c>
      <c r="D11" s="67" t="str">
        <f>B11&amp;"-"&amp;C11</f>
        <v>MODERADO-HIBRÍDOS</v>
      </c>
      <c r="E11" s="66">
        <v>0.08</v>
      </c>
    </row>
    <row r="12" spans="2:5" x14ac:dyDescent="0.25">
      <c r="B12" s="69" t="s">
        <v>29</v>
      </c>
      <c r="C12" s="68" t="s">
        <v>2</v>
      </c>
      <c r="D12" s="67" t="str">
        <f>B12&amp;"-"&amp;C12</f>
        <v>MODERADO-FOFs</v>
      </c>
      <c r="E12" s="66">
        <v>0.05</v>
      </c>
    </row>
    <row r="13" spans="2:5" x14ac:dyDescent="0.25">
      <c r="B13" s="69" t="s">
        <v>29</v>
      </c>
      <c r="C13" s="68" t="s">
        <v>1</v>
      </c>
      <c r="D13" s="67" t="str">
        <f>B13&amp;"-"&amp;C13</f>
        <v>MODERADO-DESENVOLVIMENTO</v>
      </c>
      <c r="E13" s="66">
        <v>0.1</v>
      </c>
    </row>
    <row r="14" spans="2:5" x14ac:dyDescent="0.25">
      <c r="B14" s="69" t="s">
        <v>29</v>
      </c>
      <c r="C14" s="68" t="s">
        <v>0</v>
      </c>
      <c r="D14" s="67" t="str">
        <f>B14&amp;"-"&amp;C14</f>
        <v>MODERADO-HOTELARIAS</v>
      </c>
      <c r="E14" s="66">
        <v>0.1</v>
      </c>
    </row>
    <row r="15" spans="2:5" x14ac:dyDescent="0.25">
      <c r="B15" s="73" t="s">
        <v>10</v>
      </c>
      <c r="C15" s="72" t="s">
        <v>5</v>
      </c>
      <c r="D15" s="71" t="str">
        <f>B15&amp;"-"&amp;C15</f>
        <v>AGRESSIVO-PAPEL</v>
      </c>
      <c r="E15" s="70">
        <v>0.5</v>
      </c>
    </row>
    <row r="16" spans="2:5" x14ac:dyDescent="0.25">
      <c r="B16" s="69" t="s">
        <v>10</v>
      </c>
      <c r="C16" s="68" t="s">
        <v>4</v>
      </c>
      <c r="D16" s="67" t="str">
        <f>B16&amp;"-"&amp;C16</f>
        <v>AGRESSIVO-TIJOLO</v>
      </c>
      <c r="E16" s="66">
        <v>0.1</v>
      </c>
    </row>
    <row r="17" spans="2:5" x14ac:dyDescent="0.25">
      <c r="B17" s="69" t="s">
        <v>10</v>
      </c>
      <c r="C17" s="68" t="s">
        <v>3</v>
      </c>
      <c r="D17" s="67" t="str">
        <f>B17&amp;"-"&amp;C17</f>
        <v>AGRESSIVO-HIBRÍDOS</v>
      </c>
      <c r="E17" s="66">
        <v>0.05</v>
      </c>
    </row>
    <row r="18" spans="2:5" x14ac:dyDescent="0.25">
      <c r="B18" s="69" t="s">
        <v>10</v>
      </c>
      <c r="C18" s="68" t="s">
        <v>2</v>
      </c>
      <c r="D18" s="67" t="str">
        <f>B18&amp;"-"&amp;C18</f>
        <v>AGRESSIVO-FOFs</v>
      </c>
      <c r="E18" s="66">
        <v>0.05</v>
      </c>
    </row>
    <row r="19" spans="2:5" x14ac:dyDescent="0.25">
      <c r="B19" s="69" t="s">
        <v>10</v>
      </c>
      <c r="C19" s="68" t="s">
        <v>1</v>
      </c>
      <c r="D19" s="67" t="str">
        <f>B19&amp;"-"&amp;C19</f>
        <v>AGRESSIVO-DESENVOLVIMENTO</v>
      </c>
      <c r="E19" s="66">
        <v>0.2</v>
      </c>
    </row>
    <row r="20" spans="2:5" x14ac:dyDescent="0.25">
      <c r="B20" s="65" t="s">
        <v>10</v>
      </c>
      <c r="C20" s="64" t="s">
        <v>0</v>
      </c>
      <c r="D20" s="63" t="str">
        <f>B20&amp;"-"&amp;C20</f>
        <v>AGRESSIVO-HOTELARIAS</v>
      </c>
      <c r="E20" s="62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INVESTIMENTO</vt:lpstr>
      <vt:lpstr>TBL_APOIO</vt:lpstr>
      <vt:lpstr>aporte</vt:lpstr>
      <vt:lpstr>rendimento_carteira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KEMILY MORELATO</dc:creator>
  <cp:lastModifiedBy>KEMILY MORELATO</cp:lastModifiedBy>
  <dcterms:created xsi:type="dcterms:W3CDTF">2025-11-14T00:12:00Z</dcterms:created>
  <dcterms:modified xsi:type="dcterms:W3CDTF">2025-11-14T00:13:33Z</dcterms:modified>
</cp:coreProperties>
</file>